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ashimgilani/Downloads/"/>
    </mc:Choice>
  </mc:AlternateContent>
  <xr:revisionPtr revIDLastSave="0" documentId="13_ncr:1_{9DA39EDC-2F84-5A48-8496-C9C594DBBC0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Q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I7" i="1" s="1"/>
  <c r="G6" i="1"/>
  <c r="H6" i="1" s="1"/>
  <c r="J6" i="1" s="1"/>
  <c r="K6" i="1" s="1"/>
  <c r="G5" i="1"/>
  <c r="I5" i="1" s="1"/>
  <c r="G4" i="1"/>
  <c r="H4" i="1" s="1"/>
  <c r="J4" i="1" s="1"/>
  <c r="K4" i="1" s="1"/>
  <c r="G3" i="1"/>
  <c r="H3" i="1" s="1"/>
  <c r="J3" i="1" s="1"/>
  <c r="K3" i="1" s="1"/>
  <c r="G2" i="1"/>
  <c r="I2" i="1" s="1"/>
  <c r="I3" i="1" l="1"/>
  <c r="H7" i="1"/>
  <c r="J7" i="1" s="1"/>
  <c r="K7" i="1" s="1"/>
  <c r="I4" i="1"/>
  <c r="I6" i="1"/>
  <c r="H5" i="1"/>
  <c r="J5" i="1" s="1"/>
  <c r="K5" i="1" s="1"/>
  <c r="H2" i="1"/>
  <c r="J2" i="1" s="1"/>
  <c r="K2" i="1" s="1"/>
  <c r="K9" i="1" s="1"/>
</calcChain>
</file>

<file path=xl/sharedStrings.xml><?xml version="1.0" encoding="utf-8"?>
<sst xmlns="http://schemas.openxmlformats.org/spreadsheetml/2006/main" count="14" uniqueCount="14">
  <si>
    <t>Years</t>
  </si>
  <si>
    <t>UsedCredit</t>
  </si>
  <si>
    <t>w1</t>
  </si>
  <si>
    <t>w2</t>
  </si>
  <si>
    <t>Bias</t>
  </si>
  <si>
    <t>Logistic(z)</t>
  </si>
  <si>
    <t>ReLU(z)</t>
  </si>
  <si>
    <t>Accuracy</t>
  </si>
  <si>
    <t>Correct</t>
  </si>
  <si>
    <t>Predicted</t>
  </si>
  <si>
    <t>Salary in thousand</t>
  </si>
  <si>
    <t>Weighted Sum</t>
  </si>
  <si>
    <t>1 = prediction matches actual</t>
  </si>
  <si>
    <t>0 = prediction is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</si>
</sst>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1" width="18" customWidth="1"/>
  </cols>
  <sheetData>
    <row r="1" spans="1:11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</v>
      </c>
      <c r="I1" s="1" t="s">
        <v>6</v>
      </c>
      <c r="J1" s="1" t="s">
        <v>9</v>
      </c>
      <c r="K1" s="1" t="s">
        <v>8</v>
      </c>
    </row>
    <row r="2" spans="1:11" x14ac:dyDescent="0.2">
      <c r="A2" s="2">
        <v>4</v>
      </c>
      <c r="B2" s="2">
        <v>43</v>
      </c>
      <c r="C2" s="2">
        <v>0</v>
      </c>
      <c r="D2" s="2">
        <v>0.03</v>
      </c>
      <c r="E2" s="2">
        <v>0.01</v>
      </c>
      <c r="F2" s="2">
        <v>-1</v>
      </c>
      <c r="G2" s="2">
        <f t="shared" ref="G2:G7" si="0">$D$2*A2+$E$2*B2+$F$2</f>
        <v>-0.44999999999999996</v>
      </c>
      <c r="H2" s="3">
        <f t="shared" ref="H2:H7" si="1">1/(1+EXP(-G2))</f>
        <v>0.38936076605077802</v>
      </c>
      <c r="I2" s="2">
        <f t="shared" ref="I2:I7" si="2">MAX(0,G2)</f>
        <v>0</v>
      </c>
      <c r="J2" s="2">
        <f t="shared" ref="J2:J7" si="3">IF(H2&gt;=0.5,1,0)</f>
        <v>0</v>
      </c>
      <c r="K2" s="2">
        <f t="shared" ref="K2:K7" si="4">IF(J2=C2,1,0)</f>
        <v>1</v>
      </c>
    </row>
    <row r="3" spans="1:11" x14ac:dyDescent="0.2">
      <c r="A3" s="2">
        <v>18</v>
      </c>
      <c r="B3" s="2">
        <v>65</v>
      </c>
      <c r="C3" s="2">
        <v>1</v>
      </c>
      <c r="D3" s="2"/>
      <c r="E3" s="2"/>
      <c r="F3" s="2"/>
      <c r="G3" s="2">
        <f t="shared" si="0"/>
        <v>0.18999999999999995</v>
      </c>
      <c r="H3" s="3">
        <f t="shared" si="1"/>
        <v>0.54735761814308925</v>
      </c>
      <c r="I3" s="2">
        <f t="shared" si="2"/>
        <v>0.18999999999999995</v>
      </c>
      <c r="J3" s="2">
        <f t="shared" si="3"/>
        <v>1</v>
      </c>
      <c r="K3" s="2">
        <f t="shared" si="4"/>
        <v>1</v>
      </c>
    </row>
    <row r="4" spans="1:11" x14ac:dyDescent="0.2">
      <c r="A4" s="2">
        <v>1</v>
      </c>
      <c r="B4" s="2">
        <v>53</v>
      </c>
      <c r="C4" s="2">
        <v>0</v>
      </c>
      <c r="D4" s="2"/>
      <c r="E4" s="2"/>
      <c r="F4" s="2"/>
      <c r="G4" s="2">
        <f t="shared" si="0"/>
        <v>-0.43999999999999995</v>
      </c>
      <c r="H4" s="3">
        <f t="shared" si="1"/>
        <v>0.39174096925348562</v>
      </c>
      <c r="I4" s="2">
        <f t="shared" si="2"/>
        <v>0</v>
      </c>
      <c r="J4" s="2">
        <f t="shared" si="3"/>
        <v>0</v>
      </c>
      <c r="K4" s="2">
        <f t="shared" si="4"/>
        <v>1</v>
      </c>
    </row>
    <row r="5" spans="1:11" x14ac:dyDescent="0.2">
      <c r="A5" s="2">
        <v>3</v>
      </c>
      <c r="B5" s="2">
        <v>95</v>
      </c>
      <c r="C5" s="2">
        <v>0</v>
      </c>
      <c r="D5" s="2"/>
      <c r="E5" s="2"/>
      <c r="F5" s="2"/>
      <c r="G5" s="2">
        <f t="shared" si="0"/>
        <v>4.0000000000000036E-2</v>
      </c>
      <c r="H5" s="3">
        <f t="shared" si="1"/>
        <v>0.50999866687996553</v>
      </c>
      <c r="I5" s="2">
        <f t="shared" si="2"/>
        <v>4.0000000000000036E-2</v>
      </c>
      <c r="J5" s="2">
        <f t="shared" si="3"/>
        <v>1</v>
      </c>
      <c r="K5" s="2">
        <f t="shared" si="4"/>
        <v>0</v>
      </c>
    </row>
    <row r="6" spans="1:11" x14ac:dyDescent="0.2">
      <c r="A6" s="2">
        <v>15</v>
      </c>
      <c r="B6" s="2">
        <v>88</v>
      </c>
      <c r="C6" s="2">
        <v>1</v>
      </c>
      <c r="D6" s="2"/>
      <c r="E6" s="2"/>
      <c r="F6" s="2"/>
      <c r="G6" s="2">
        <f t="shared" si="0"/>
        <v>0.33000000000000007</v>
      </c>
      <c r="H6" s="3">
        <f t="shared" si="1"/>
        <v>0.58175937684183632</v>
      </c>
      <c r="I6" s="2">
        <f t="shared" si="2"/>
        <v>0.33000000000000007</v>
      </c>
      <c r="J6" s="2">
        <f t="shared" si="3"/>
        <v>1</v>
      </c>
      <c r="K6" s="2">
        <f t="shared" si="4"/>
        <v>1</v>
      </c>
    </row>
    <row r="7" spans="1:11" x14ac:dyDescent="0.2">
      <c r="A7" s="2">
        <v>6</v>
      </c>
      <c r="B7" s="2">
        <v>112</v>
      </c>
      <c r="C7" s="2">
        <v>1</v>
      </c>
      <c r="D7" s="2"/>
      <c r="E7" s="2"/>
      <c r="F7" s="2"/>
      <c r="G7" s="2">
        <f t="shared" si="0"/>
        <v>0.30000000000000004</v>
      </c>
      <c r="H7" s="3">
        <f t="shared" si="1"/>
        <v>0.57444251681165903</v>
      </c>
      <c r="I7" s="2">
        <f t="shared" si="2"/>
        <v>0.30000000000000004</v>
      </c>
      <c r="J7" s="2">
        <f t="shared" si="3"/>
        <v>1</v>
      </c>
      <c r="K7" s="2">
        <f t="shared" si="4"/>
        <v>1</v>
      </c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 t="s">
        <v>7</v>
      </c>
      <c r="K9" s="2">
        <f>AVERAGE(K2:K7)</f>
        <v>0.83333333333333337</v>
      </c>
    </row>
    <row r="13" spans="1:11" x14ac:dyDescent="0.2">
      <c r="A13" t="s">
        <v>12</v>
      </c>
    </row>
    <row r="14" spans="1:11" x14ac:dyDescent="0.2">
      <c r="A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Gilani, Syed Hashim Ali</cp:lastModifiedBy>
  <dcterms:created xsi:type="dcterms:W3CDTF">2025-11-15T03:04:55Z</dcterms:created>
  <dcterms:modified xsi:type="dcterms:W3CDTF">2025-11-16T23:56:37Z</dcterms:modified>
</cp:coreProperties>
</file>